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AppData\Local\Microsoft\Windows\INetCache\Content.Outlook\RFBXTNO3\"/>
    </mc:Choice>
  </mc:AlternateContent>
  <xr:revisionPtr revIDLastSave="0" documentId="8_{193910F5-EBDD-4A91-BDB8-3517F792B4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NQUE" sheetId="1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0" l="1"/>
  <c r="D21" i="10" l="1"/>
  <c r="D25" i="10" l="1"/>
  <c r="F13" i="10" l="1"/>
  <c r="B15" i="10" s="1"/>
  <c r="D13" i="10" l="1"/>
  <c r="A35" i="10"/>
  <c r="D34" i="10" s="1"/>
  <c r="D26" i="10"/>
  <c r="E28" i="10" s="1"/>
  <c r="E22" i="10"/>
  <c r="H10" i="10"/>
  <c r="D10" i="10"/>
  <c r="A37" i="10" l="1"/>
  <c r="E36" i="10"/>
  <c r="E35" i="10" s="1"/>
  <c r="D15" i="10"/>
  <c r="E17" i="10" s="1"/>
  <c r="E30" i="10" s="1"/>
  <c r="C15" i="10" l="1"/>
  <c r="E32" i="10"/>
  <c r="E31" i="10"/>
  <c r="E37" i="10" l="1"/>
  <c r="H32" i="10" s="1"/>
  <c r="H33" i="10" l="1"/>
  <c r="I33" i="10" l="1"/>
</calcChain>
</file>

<file path=xl/sharedStrings.xml><?xml version="1.0" encoding="utf-8"?>
<sst xmlns="http://schemas.openxmlformats.org/spreadsheetml/2006/main" count="59" uniqueCount="54">
  <si>
    <t>MAQUINA X</t>
  </si>
  <si>
    <t xml:space="preserve">ORIGEN:  </t>
  </si>
  <si>
    <t xml:space="preserve">DESTINO: </t>
  </si>
  <si>
    <t>KMS</t>
  </si>
  <si>
    <t>RENDIM.</t>
  </si>
  <si>
    <t>LTS. A</t>
  </si>
  <si>
    <t>PRECIO</t>
  </si>
  <si>
    <t>IMPORTE</t>
  </si>
  <si>
    <t>Lt/Km</t>
  </si>
  <si>
    <t>CONSUMIR</t>
  </si>
  <si>
    <t xml:space="preserve"> + IVA</t>
  </si>
  <si>
    <t>DIESEL</t>
  </si>
  <si>
    <t>KMS CARGADO</t>
  </si>
  <si>
    <t>KMS VACIO</t>
  </si>
  <si>
    <t>REGRESO</t>
  </si>
  <si>
    <t>SUMA</t>
  </si>
  <si>
    <t>mas IVA</t>
  </si>
  <si>
    <t>TOTAL KMS</t>
  </si>
  <si>
    <t>Precio x Lt.</t>
  </si>
  <si>
    <t>CASETAS</t>
  </si>
  <si>
    <t>CARGADO</t>
  </si>
  <si>
    <t>1ER RUTA VACIO</t>
  </si>
  <si>
    <t>VACIO</t>
  </si>
  <si>
    <t>2DA RUTA VACIO</t>
  </si>
  <si>
    <t>VIATICOS</t>
  </si>
  <si>
    <t>Num. Comidas</t>
  </si>
  <si>
    <t xml:space="preserve">P.U. </t>
  </si>
  <si>
    <t>Comidas</t>
  </si>
  <si>
    <t>Federal</t>
  </si>
  <si>
    <t>Telefono</t>
  </si>
  <si>
    <t>Imprevistos</t>
  </si>
  <si>
    <t>EMPRESA :    ALESSO</t>
  </si>
  <si>
    <t>UNIDAD :    LOW BOY ARRASTRE</t>
  </si>
  <si>
    <t>SUBTOTAL</t>
  </si>
  <si>
    <t>MTTO.</t>
  </si>
  <si>
    <t>CARRO PILOTO</t>
  </si>
  <si>
    <t>IND</t>
  </si>
  <si>
    <t>ALIMENTACION</t>
  </si>
  <si>
    <t>GASOLINA</t>
  </si>
  <si>
    <t>PRECIO DE VENTA</t>
  </si>
  <si>
    <t>IMPREVISTOS</t>
  </si>
  <si>
    <t>MAS IVA</t>
  </si>
  <si>
    <t>TOTAL</t>
  </si>
  <si>
    <t xml:space="preserve">PERMISO </t>
  </si>
  <si>
    <t>HERMOSILLO, SON</t>
  </si>
  <si>
    <t>ANCHO              4.100MM</t>
  </si>
  <si>
    <t>ALTURA             4.000 MM</t>
  </si>
  <si>
    <t>LARGO              8.300 MM</t>
  </si>
  <si>
    <t>COATZACOALCOS, VER</t>
  </si>
  <si>
    <t>TANQUE</t>
  </si>
  <si>
    <t>PESO                10.000 TN</t>
  </si>
  <si>
    <t>DGO-HMLLO</t>
  </si>
  <si>
    <t>COATZA-TEPO</t>
  </si>
  <si>
    <t>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</si>
</sst>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&quot;€&quot;_-;\-* #,##0.00\ &quot;€&quot;_-;_-* &quot;-&quot;??\ &quot;€&quot;_-;_-@_-"/>
    <numFmt numFmtId="166" formatCode="_-[$$-80A]* #,##0.00_-;\-[$$-80A]* #,##0.00_-;_-[$$-80A]* &quot;-&quot;??_-;_-@_-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13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8">
    <xf numFmtId="0" fontId="0" fillId="0" borderId="0" xfId="0"/>
    <xf numFmtId="0" fontId="1" fillId="0" borderId="0" xfId="1"/>
    <xf numFmtId="0" fontId="2" fillId="0" borderId="0" xfId="1" applyFont="1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2" fillId="0" borderId="5" xfId="1" applyFont="1" applyBorder="1"/>
    <xf numFmtId="0" fontId="2" fillId="2" borderId="0" xfId="1" applyFont="1" applyFill="1"/>
    <xf numFmtId="15" fontId="1" fillId="0" borderId="1" xfId="1" applyNumberFormat="1" applyBorder="1"/>
    <xf numFmtId="0" fontId="1" fillId="0" borderId="0" xfId="1" applyAlignment="1">
      <alignment horizontal="left"/>
    </xf>
    <xf numFmtId="0" fontId="1" fillId="2" borderId="0" xfId="1" applyFill="1"/>
    <xf numFmtId="0" fontId="2" fillId="0" borderId="0" xfId="1" applyFont="1" applyAlignment="1">
      <alignment horizontal="center"/>
    </xf>
    <xf numFmtId="0" fontId="2" fillId="0" borderId="2" xfId="1" applyFont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0" fontId="2" fillId="0" borderId="1" xfId="1" applyFont="1" applyBorder="1" applyAlignment="1">
      <alignment horizontal="center"/>
    </xf>
    <xf numFmtId="0" fontId="2" fillId="0" borderId="6" xfId="1" applyFont="1" applyBorder="1"/>
    <xf numFmtId="0" fontId="1" fillId="0" borderId="5" xfId="1" applyBorder="1"/>
    <xf numFmtId="43" fontId="1" fillId="0" borderId="0" xfId="2" applyFont="1" applyBorder="1"/>
    <xf numFmtId="0" fontId="1" fillId="0" borderId="0" xfId="1" applyAlignment="1">
      <alignment horizontal="center"/>
    </xf>
    <xf numFmtId="43" fontId="1" fillId="0" borderId="0" xfId="1" applyNumberFormat="1"/>
    <xf numFmtId="6" fontId="1" fillId="0" borderId="5" xfId="3" applyNumberFormat="1" applyFont="1" applyBorder="1" applyAlignment="1">
      <alignment horizontal="left"/>
    </xf>
    <xf numFmtId="44" fontId="3" fillId="4" borderId="1" xfId="3" applyFont="1" applyFill="1" applyBorder="1"/>
    <xf numFmtId="0" fontId="1" fillId="5" borderId="0" xfId="1" applyFill="1"/>
    <xf numFmtId="44" fontId="1" fillId="0" borderId="5" xfId="3" applyBorder="1"/>
    <xf numFmtId="44" fontId="1" fillId="4" borderId="1" xfId="3" applyFill="1" applyBorder="1"/>
    <xf numFmtId="0" fontId="1" fillId="3" borderId="0" xfId="1" applyFill="1"/>
    <xf numFmtId="0" fontId="1" fillId="4" borderId="0" xfId="1" applyFill="1"/>
    <xf numFmtId="0" fontId="1" fillId="0" borderId="7" xfId="1" applyBorder="1"/>
    <xf numFmtId="0" fontId="1" fillId="0" borderId="5" xfId="1" applyBorder="1" applyAlignment="1">
      <alignment horizontal="left"/>
    </xf>
    <xf numFmtId="43" fontId="1" fillId="0" borderId="8" xfId="2" applyFont="1" applyFill="1" applyBorder="1"/>
    <xf numFmtId="43" fontId="1" fillId="0" borderId="8" xfId="1" applyNumberFormat="1" applyBorder="1"/>
    <xf numFmtId="164" fontId="0" fillId="0" borderId="0" xfId="4" applyFont="1" applyBorder="1"/>
    <xf numFmtId="44" fontId="1" fillId="4" borderId="1" xfId="1" applyNumberFormat="1" applyFill="1" applyBorder="1"/>
    <xf numFmtId="0" fontId="1" fillId="0" borderId="9" xfId="1" applyBorder="1"/>
    <xf numFmtId="0" fontId="1" fillId="4" borderId="10" xfId="1" applyFill="1" applyBorder="1" applyAlignment="1">
      <alignment horizontal="center"/>
    </xf>
    <xf numFmtId="0" fontId="1" fillId="4" borderId="1" xfId="1" applyFill="1" applyBorder="1"/>
    <xf numFmtId="44" fontId="0" fillId="0" borderId="0" xfId="3" applyFont="1" applyBorder="1"/>
    <xf numFmtId="0" fontId="1" fillId="6" borderId="0" xfId="1" applyFill="1"/>
    <xf numFmtId="44" fontId="2" fillId="0" borderId="0" xfId="3" applyFont="1" applyBorder="1"/>
    <xf numFmtId="43" fontId="0" fillId="0" borderId="0" xfId="2" applyFont="1" applyBorder="1"/>
    <xf numFmtId="44" fontId="1" fillId="0" borderId="0" xfId="3" applyBorder="1"/>
    <xf numFmtId="0" fontId="1" fillId="0" borderId="1" xfId="1" applyBorder="1" applyAlignment="1">
      <alignment horizontal="center"/>
    </xf>
    <xf numFmtId="0" fontId="2" fillId="0" borderId="1" xfId="1" applyFont="1" applyBorder="1"/>
    <xf numFmtId="44" fontId="1" fillId="0" borderId="0" xfId="1" applyNumberFormat="1"/>
    <xf numFmtId="44" fontId="1" fillId="3" borderId="0" xfId="3" applyFill="1" applyBorder="1"/>
    <xf numFmtId="44" fontId="2" fillId="0" borderId="0" xfId="1" applyNumberFormat="1" applyFont="1"/>
    <xf numFmtId="9" fontId="1" fillId="0" borderId="0" xfId="1" applyNumberFormat="1"/>
    <xf numFmtId="44" fontId="1" fillId="0" borderId="1" xfId="1" applyNumberFormat="1" applyBorder="1"/>
    <xf numFmtId="166" fontId="1" fillId="0" borderId="0" xfId="5" applyNumberFormat="1" applyBorder="1"/>
    <xf numFmtId="44" fontId="1" fillId="2" borderId="0" xfId="1" applyNumberFormat="1" applyFill="1"/>
    <xf numFmtId="44" fontId="2" fillId="3" borderId="1" xfId="1" applyNumberFormat="1" applyFont="1" applyFill="1" applyBorder="1"/>
    <xf numFmtId="165" fontId="0" fillId="0" borderId="0" xfId="5" applyFont="1"/>
    <xf numFmtId="166" fontId="0" fillId="0" borderId="0" xfId="5" applyNumberFormat="1" applyFont="1" applyBorder="1"/>
    <xf numFmtId="0" fontId="2" fillId="3" borderId="1" xfId="1" applyFont="1" applyFill="1" applyBorder="1"/>
    <xf numFmtId="0" fontId="2" fillId="3" borderId="1" xfId="1" applyFont="1" applyFill="1" applyBorder="1" applyAlignment="1">
      <alignment horizontal="center"/>
    </xf>
    <xf numFmtId="8" fontId="1" fillId="0" borderId="0" xfId="1" applyNumberFormat="1"/>
    <xf numFmtId="0" fontId="1" fillId="0" borderId="11" xfId="1" applyBorder="1"/>
    <xf numFmtId="44" fontId="2" fillId="0" borderId="12" xfId="3" applyFont="1" applyBorder="1"/>
    <xf numFmtId="0" fontId="1" fillId="0" borderId="8" xfId="1" applyBorder="1"/>
    <xf numFmtId="0" fontId="1" fillId="0" borderId="13" xfId="1" applyBorder="1"/>
    <xf numFmtId="44" fontId="1" fillId="0" borderId="13" xfId="1" applyNumberFormat="1" applyBorder="1"/>
    <xf numFmtId="44" fontId="1" fillId="0" borderId="10" xfId="1" applyNumberFormat="1" applyBorder="1"/>
    <xf numFmtId="0" fontId="1" fillId="0" borderId="5" xfId="0" applyFont="1" applyBorder="1"/>
    <xf numFmtId="0" fontId="1" fillId="0" borderId="5" xfId="0" applyFont="1" applyBorder="1" applyAlignment="1">
      <alignment horizontal="left"/>
    </xf>
    <xf numFmtId="0" fontId="1" fillId="0" borderId="0" xfId="0" applyFont="1"/>
    <xf numFmtId="44" fontId="4" fillId="0" borderId="0" xfId="8" applyBorder="1"/>
  </cellXfs>
  <cellStyles count="9">
    <cellStyle name="Millares 2" xfId="6" xr:uid="{00000000-0005-0000-0000-000000000000}"/>
    <cellStyle name="Millares 3" xfId="4" xr:uid="{00000000-0005-0000-0000-000001000000}"/>
    <cellStyle name="Millares_Hoja1 3" xfId="2" xr:uid="{00000000-0005-0000-0000-000002000000}"/>
    <cellStyle name="Moneda 2" xfId="7" xr:uid="{00000000-0005-0000-0000-000003000000}"/>
    <cellStyle name="Moneda 3" xfId="5" xr:uid="{00000000-0005-0000-0000-000004000000}"/>
    <cellStyle name="Moneda_Hoja1" xfId="8" xr:uid="{00000000-0005-0000-0000-000005000000}"/>
    <cellStyle name="Moneda_Hoja1 3" xfId="3" xr:uid="{00000000-0005-0000-0000-000006000000}"/>
    <cellStyle name="Normal" xfId="0" builtinId="0"/>
    <cellStyle name="Normal 2" xfId="1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zoomScale="130" zoomScaleNormal="130" workbookViewId="0">
      <selection activeCell="H3" sqref="H3"/>
    </sheetView>
  </sheetViews>
  <sheetFormatPr baseColWidth="10" defaultRowHeight="12.75" x14ac:dyDescent="0.2"/>
  <cols>
    <col min="1" max="1" width="24.5703125" style="1" customWidth="1"/>
    <col min="2" max="2" width="27.28515625" style="1" customWidth="1"/>
    <col min="3" max="3" width="14.5703125" style="1" customWidth="1"/>
    <col min="4" max="4" width="12.28515625" style="1" bestFit="1" customWidth="1"/>
    <col min="5" max="5" width="16.42578125" style="1" customWidth="1"/>
    <col min="6" max="6" width="11.42578125" style="1"/>
    <col min="7" max="7" width="11.5703125" style="1" bestFit="1" customWidth="1"/>
    <col min="8" max="8" width="18.28515625" style="1" customWidth="1"/>
    <col min="9" max="9" width="11.42578125" style="1"/>
    <col min="10" max="10" width="20.5703125" style="1" bestFit="1" customWidth="1"/>
    <col min="11" max="16384" width="11.42578125" style="1"/>
  </cols>
  <sheetData>
    <row r="1" spans="1:10" ht="13.5" thickBot="1" x14ac:dyDescent="0.25">
      <c r="B1" s="2"/>
      <c r="C1" s="2"/>
      <c r="H1" s="3"/>
    </row>
    <row r="2" spans="1:10" x14ac:dyDescent="0.2">
      <c r="A2" s="4"/>
      <c r="B2" s="5"/>
      <c r="C2" s="5"/>
      <c r="D2" s="5"/>
      <c r="E2" s="5"/>
      <c r="F2" s="5"/>
      <c r="G2" s="5"/>
      <c r="H2" s="6"/>
    </row>
    <row r="3" spans="1:10" x14ac:dyDescent="0.2">
      <c r="A3" s="7" t="s">
        <v>0</v>
      </c>
      <c r="B3" s="2" t="s">
        <v>1</v>
      </c>
      <c r="C3" s="8" t="s">
        <v>44</v>
      </c>
      <c r="H3" s="9"/>
      <c r="J3" s="10"/>
    </row>
    <row r="4" spans="1:10" x14ac:dyDescent="0.2">
      <c r="A4" s="64" t="s">
        <v>49</v>
      </c>
      <c r="B4" s="2" t="s">
        <v>2</v>
      </c>
      <c r="C4" s="8" t="s">
        <v>48</v>
      </c>
      <c r="H4" s="9"/>
    </row>
    <row r="5" spans="1:10" x14ac:dyDescent="0.2">
      <c r="A5" s="65" t="s">
        <v>50</v>
      </c>
      <c r="C5" s="11"/>
      <c r="H5" s="3"/>
    </row>
    <row r="6" spans="1:10" ht="13.5" thickBot="1" x14ac:dyDescent="0.25">
      <c r="A6" s="66" t="s">
        <v>45</v>
      </c>
      <c r="H6" s="3"/>
      <c r="J6" s="10"/>
    </row>
    <row r="7" spans="1:10" ht="15" x14ac:dyDescent="0.25">
      <c r="A7" t="s">
        <v>46</v>
      </c>
      <c r="B7" s="12" t="s">
        <v>3</v>
      </c>
      <c r="C7" s="12" t="s">
        <v>4</v>
      </c>
      <c r="D7" s="12" t="s">
        <v>5</v>
      </c>
      <c r="E7" s="12"/>
      <c r="F7" s="12"/>
      <c r="G7" s="13" t="s">
        <v>6</v>
      </c>
      <c r="H7" s="14" t="s">
        <v>7</v>
      </c>
    </row>
    <row r="8" spans="1:10" x14ac:dyDescent="0.2">
      <c r="A8" s="65" t="s">
        <v>47</v>
      </c>
      <c r="B8" s="12"/>
      <c r="C8" s="12" t="s">
        <v>8</v>
      </c>
      <c r="D8" s="12" t="s">
        <v>9</v>
      </c>
      <c r="E8" s="12"/>
      <c r="F8" s="12"/>
      <c r="G8" s="15" t="s">
        <v>10</v>
      </c>
      <c r="H8" s="16"/>
    </row>
    <row r="9" spans="1:10" x14ac:dyDescent="0.2">
      <c r="A9" s="17" t="s">
        <v>11</v>
      </c>
      <c r="G9" s="18"/>
      <c r="H9" s="3"/>
      <c r="J9" s="10"/>
    </row>
    <row r="10" spans="1:10" ht="14.25" x14ac:dyDescent="0.2">
      <c r="A10" s="18" t="s">
        <v>12</v>
      </c>
      <c r="B10" s="19">
        <v>2500</v>
      </c>
      <c r="C10" s="20">
        <v>1.9</v>
      </c>
      <c r="D10" s="21">
        <f>B10/C10</f>
        <v>1315.7894736842106</v>
      </c>
      <c r="G10" s="22">
        <v>32.5</v>
      </c>
      <c r="H10" s="23">
        <f>B10*G10</f>
        <v>81250</v>
      </c>
    </row>
    <row r="11" spans="1:10" ht="13.5" thickBot="1" x14ac:dyDescent="0.25">
      <c r="A11" s="18" t="s">
        <v>13</v>
      </c>
      <c r="B11" s="1" t="s">
        <v>51</v>
      </c>
      <c r="C11" s="20">
        <v>1</v>
      </c>
      <c r="D11" s="21">
        <v>0</v>
      </c>
      <c r="F11" s="24">
        <v>1150</v>
      </c>
      <c r="G11" s="25"/>
      <c r="H11" s="26"/>
    </row>
    <row r="12" spans="1:10" ht="13.5" thickBot="1" x14ac:dyDescent="0.25">
      <c r="A12" s="18" t="s">
        <v>13</v>
      </c>
      <c r="B12" s="1" t="s">
        <v>52</v>
      </c>
      <c r="D12" s="21"/>
      <c r="F12" s="27">
        <v>1000</v>
      </c>
      <c r="G12" s="18"/>
      <c r="H12" s="28"/>
      <c r="I12" s="29"/>
      <c r="J12" s="30"/>
    </row>
    <row r="13" spans="1:10" ht="15.75" thickBot="1" x14ac:dyDescent="0.3">
      <c r="A13" s="18" t="s">
        <v>14</v>
      </c>
      <c r="B13" s="31"/>
      <c r="C13" s="20">
        <v>2</v>
      </c>
      <c r="D13" s="32">
        <f>F13/C13</f>
        <v>1075</v>
      </c>
      <c r="F13" s="33">
        <f>SUM(F11:F12)</f>
        <v>2150</v>
      </c>
      <c r="G13" s="18" t="s">
        <v>15</v>
      </c>
      <c r="H13" s="34"/>
    </row>
    <row r="14" spans="1:10" ht="13.5" thickBot="1" x14ac:dyDescent="0.25">
      <c r="A14" s="18"/>
      <c r="D14" s="21"/>
      <c r="G14" s="35"/>
      <c r="H14" s="36" t="s">
        <v>16</v>
      </c>
    </row>
    <row r="15" spans="1:10" ht="15" x14ac:dyDescent="0.25">
      <c r="A15" s="18" t="s">
        <v>17</v>
      </c>
      <c r="B15" s="21">
        <f>B10+F13</f>
        <v>4650</v>
      </c>
      <c r="C15" s="33">
        <f>B15/D15</f>
        <v>1.9449642267473854</v>
      </c>
      <c r="D15" s="21">
        <f>D10+D13</f>
        <v>2390.7894736842109</v>
      </c>
      <c r="H15" s="37"/>
    </row>
    <row r="16" spans="1:10" ht="15" x14ac:dyDescent="0.25">
      <c r="A16" s="18" t="s">
        <v>18</v>
      </c>
      <c r="D16" s="38">
        <v>24</v>
      </c>
      <c r="H16" s="3"/>
    </row>
    <row r="17" spans="1:8" x14ac:dyDescent="0.2">
      <c r="A17" s="18"/>
      <c r="D17" s="39" t="s">
        <v>11</v>
      </c>
      <c r="E17" s="40">
        <f>D15*D16</f>
        <v>57378.947368421061</v>
      </c>
      <c r="H17" s="3"/>
    </row>
    <row r="18" spans="1:8" x14ac:dyDescent="0.2">
      <c r="A18" s="18"/>
      <c r="H18" s="3"/>
    </row>
    <row r="19" spans="1:8" x14ac:dyDescent="0.2">
      <c r="A19" s="17" t="s">
        <v>19</v>
      </c>
      <c r="H19" s="3"/>
    </row>
    <row r="20" spans="1:8" ht="15" x14ac:dyDescent="0.25">
      <c r="A20" s="18" t="s">
        <v>20</v>
      </c>
      <c r="B20" s="41"/>
      <c r="D20" s="67">
        <v>14000</v>
      </c>
      <c r="F20" s="1">
        <v>6000</v>
      </c>
      <c r="G20" s="1" t="s">
        <v>21</v>
      </c>
      <c r="H20" s="3"/>
    </row>
    <row r="21" spans="1:8" x14ac:dyDescent="0.2">
      <c r="A21" s="18" t="s">
        <v>22</v>
      </c>
      <c r="D21" s="67">
        <f>F20+F21</f>
        <v>10500</v>
      </c>
      <c r="F21" s="1">
        <v>4500</v>
      </c>
      <c r="G21" s="1" t="s">
        <v>23</v>
      </c>
      <c r="H21" s="3"/>
    </row>
    <row r="22" spans="1:8" x14ac:dyDescent="0.2">
      <c r="A22" s="18"/>
      <c r="D22" s="39" t="s">
        <v>19</v>
      </c>
      <c r="E22" s="42">
        <f>D21+D20</f>
        <v>24500</v>
      </c>
      <c r="H22" s="3"/>
    </row>
    <row r="23" spans="1:8" x14ac:dyDescent="0.2">
      <c r="A23" s="17" t="s">
        <v>24</v>
      </c>
      <c r="B23" s="20" t="s">
        <v>25</v>
      </c>
      <c r="C23" s="20" t="s">
        <v>26</v>
      </c>
      <c r="D23" s="20"/>
      <c r="E23" s="20"/>
      <c r="F23" s="20"/>
      <c r="G23" s="20"/>
      <c r="H23" s="43"/>
    </row>
    <row r="24" spans="1:8" x14ac:dyDescent="0.2">
      <c r="A24" s="18" t="s">
        <v>27</v>
      </c>
      <c r="B24" s="20">
        <v>21</v>
      </c>
      <c r="C24" s="42">
        <v>120</v>
      </c>
      <c r="D24" s="42">
        <f>B24*C24</f>
        <v>2520</v>
      </c>
      <c r="H24" s="3"/>
    </row>
    <row r="25" spans="1:8" x14ac:dyDescent="0.2">
      <c r="A25" s="18" t="s">
        <v>28</v>
      </c>
      <c r="B25" s="20">
        <v>15</v>
      </c>
      <c r="C25" s="42">
        <v>100</v>
      </c>
      <c r="D25" s="42">
        <f>B25*C25</f>
        <v>1500</v>
      </c>
      <c r="H25" s="3"/>
    </row>
    <row r="26" spans="1:8" x14ac:dyDescent="0.2">
      <c r="A26" s="18" t="s">
        <v>29</v>
      </c>
      <c r="B26" s="20">
        <v>2</v>
      </c>
      <c r="C26" s="42">
        <v>100</v>
      </c>
      <c r="D26" s="42">
        <f>C26*B26</f>
        <v>200</v>
      </c>
      <c r="H26" s="3"/>
    </row>
    <row r="27" spans="1:8" x14ac:dyDescent="0.2">
      <c r="A27" s="18" t="s">
        <v>30</v>
      </c>
      <c r="D27" s="42">
        <v>500</v>
      </c>
      <c r="G27" s="2" t="s">
        <v>31</v>
      </c>
      <c r="H27" s="44" t="s">
        <v>53</v>
      </c>
    </row>
    <row r="28" spans="1:8" x14ac:dyDescent="0.2">
      <c r="A28" s="18"/>
      <c r="D28" s="39" t="s">
        <v>24</v>
      </c>
      <c r="E28" s="45">
        <f>D24+D25+D26+D27</f>
        <v>4720</v>
      </c>
      <c r="G28" s="2" t="s">
        <v>32</v>
      </c>
      <c r="H28" s="3"/>
    </row>
    <row r="29" spans="1:8" x14ac:dyDescent="0.2">
      <c r="A29" s="18" t="s">
        <v>43</v>
      </c>
      <c r="E29" s="46">
        <v>2200</v>
      </c>
      <c r="H29" s="3"/>
    </row>
    <row r="30" spans="1:8" x14ac:dyDescent="0.2">
      <c r="A30" s="18"/>
      <c r="D30" s="2" t="s">
        <v>33</v>
      </c>
      <c r="E30" s="47">
        <f>E17+E22+E28+E29</f>
        <v>88798.947368421068</v>
      </c>
      <c r="H30" s="3"/>
    </row>
    <row r="31" spans="1:8" x14ac:dyDescent="0.2">
      <c r="A31" s="18"/>
      <c r="C31" s="20" t="s">
        <v>34</v>
      </c>
      <c r="D31" s="48">
        <v>0.25</v>
      </c>
      <c r="E31" s="45">
        <f>E30*D31</f>
        <v>22199.736842105267</v>
      </c>
      <c r="H31" s="3"/>
    </row>
    <row r="32" spans="1:8" x14ac:dyDescent="0.2">
      <c r="A32" s="7" t="s">
        <v>35</v>
      </c>
      <c r="C32" s="20" t="s">
        <v>36</v>
      </c>
      <c r="D32" s="48">
        <v>0.2</v>
      </c>
      <c r="E32" s="45">
        <f>E30*D32</f>
        <v>17759.789473684214</v>
      </c>
      <c r="H32" s="49">
        <f>E37*25%</f>
        <v>43601.618421052641</v>
      </c>
    </row>
    <row r="33" spans="1:9" ht="15" x14ac:dyDescent="0.25">
      <c r="A33" s="7">
        <v>5000</v>
      </c>
      <c r="C33" s="10" t="s">
        <v>37</v>
      </c>
      <c r="D33" s="50">
        <v>5040</v>
      </c>
      <c r="E33" s="51"/>
      <c r="H33" s="52">
        <f>E37+H32</f>
        <v>218008.0921052632</v>
      </c>
      <c r="I33" s="53">
        <f>H33/B10</f>
        <v>87.203236842105284</v>
      </c>
    </row>
    <row r="34" spans="1:9" ht="15" x14ac:dyDescent="0.25">
      <c r="A34" s="18">
        <v>5</v>
      </c>
      <c r="B34" s="1">
        <v>21</v>
      </c>
      <c r="C34" s="10" t="s">
        <v>38</v>
      </c>
      <c r="D34" s="54">
        <f>A35*22.5</f>
        <v>22500</v>
      </c>
      <c r="E34" s="51"/>
      <c r="H34" s="55" t="s">
        <v>39</v>
      </c>
    </row>
    <row r="35" spans="1:9" x14ac:dyDescent="0.2">
      <c r="A35" s="18">
        <f>A33/A34</f>
        <v>1000</v>
      </c>
      <c r="C35" s="10" t="s">
        <v>40</v>
      </c>
      <c r="D35" s="50">
        <v>500</v>
      </c>
      <c r="E35" s="51">
        <f>E36*0.2</f>
        <v>7608</v>
      </c>
      <c r="F35" s="48">
        <v>0.2</v>
      </c>
      <c r="H35" s="56" t="s">
        <v>41</v>
      </c>
    </row>
    <row r="36" spans="1:9" ht="15.75" thickBot="1" x14ac:dyDescent="0.3">
      <c r="A36" s="18">
        <v>30</v>
      </c>
      <c r="C36" s="10" t="s">
        <v>19</v>
      </c>
      <c r="D36" s="54">
        <v>10000</v>
      </c>
      <c r="E36" s="51">
        <f>SUM(D33:D36)</f>
        <v>38040</v>
      </c>
      <c r="F36" s="57"/>
      <c r="H36" s="49"/>
    </row>
    <row r="37" spans="1:9" ht="13.5" thickBot="1" x14ac:dyDescent="0.25">
      <c r="A37" s="35">
        <f>A35+A36</f>
        <v>1030</v>
      </c>
      <c r="D37" s="58" t="s">
        <v>42</v>
      </c>
      <c r="E37" s="59">
        <f>SUM(E30:E36)</f>
        <v>174406.47368421056</v>
      </c>
      <c r="G37" s="45"/>
      <c r="H37" s="3"/>
    </row>
    <row r="38" spans="1:9" ht="13.5" thickBot="1" x14ac:dyDescent="0.25">
      <c r="A38" s="35"/>
      <c r="B38" s="60"/>
      <c r="C38" s="60"/>
      <c r="D38" s="61"/>
      <c r="E38" s="62"/>
      <c r="F38" s="60"/>
      <c r="G38" s="60"/>
      <c r="H38" s="63"/>
    </row>
    <row r="44" spans="1:9" x14ac:dyDescent="0.2">
      <c r="A44" s="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TANQUE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Guadalupe Villa</cp:lastModifiedBy>
  <cp:lastPrinted>2019-10-09T23:08:11Z</cp:lastPrinted>
  <dcterms:created xsi:type="dcterms:W3CDTF">2019-03-16T14:47:12Z</dcterms:created>
  <dcterms:modified xsi:type="dcterms:W3CDTF">2025-12-23T22:41:02Z</dcterms:modified>
</cp:coreProperties>
</file>